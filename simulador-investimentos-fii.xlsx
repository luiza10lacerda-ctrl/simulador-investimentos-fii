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1075" windowHeight="8010" tabRatio="424"/>
  </bookViews>
  <sheets>
    <sheet name="Plan1" sheetId="1" r:id="rId1"/>
    <sheet name="Plan2" sheetId="2" r:id="rId2"/>
  </sheets>
  <definedNames>
    <definedName name="aporte">Plan1!$C$18</definedName>
    <definedName name="apote">Plan1!$C$18</definedName>
    <definedName name="rendimento_carteira">Plan1!$C$13</definedName>
    <definedName name="taxa_mensal">Plan1!$C$20</definedName>
  </definedNames>
  <calcPr calcId="125725"/>
</workbook>
</file>

<file path=xl/calcChain.xml><?xml version="1.0" encoding="utf-8"?>
<calcChain xmlns="http://schemas.openxmlformats.org/spreadsheetml/2006/main">
  <c r="C36" i="1"/>
  <c r="C37"/>
  <c r="C38"/>
  <c r="C39"/>
  <c r="C40"/>
  <c r="C35"/>
  <c r="B12" i="2"/>
  <c r="B13"/>
  <c r="B14"/>
  <c r="B15"/>
  <c r="B16"/>
  <c r="B17"/>
  <c r="B18"/>
  <c r="B19"/>
  <c r="B20"/>
  <c r="B21"/>
  <c r="B22"/>
  <c r="B23"/>
  <c r="B7"/>
  <c r="B8"/>
  <c r="B9"/>
  <c r="B10"/>
  <c r="B11"/>
  <c r="B6"/>
  <c r="C32" i="1"/>
  <c r="C14"/>
  <c r="C26"/>
  <c r="D26" s="1"/>
  <c r="C27"/>
  <c r="D27" s="1"/>
  <c r="C28"/>
  <c r="D28" s="1"/>
  <c r="C29"/>
  <c r="D29" s="1"/>
  <c r="C25"/>
  <c r="D25" s="1"/>
  <c r="C21"/>
  <c r="C22" s="1"/>
  <c r="D38" l="1"/>
  <c r="D37"/>
  <c r="D35"/>
  <c r="D36"/>
  <c r="D39"/>
  <c r="D40"/>
</calcChain>
</file>

<file path=xl/sharedStrings.xml><?xml version="1.0" encoding="utf-8"?>
<sst xmlns="http://schemas.openxmlformats.org/spreadsheetml/2006/main" count="68" uniqueCount="32">
  <si>
    <t>Quanto investir por mês;</t>
  </si>
  <si>
    <t>Por quantos anos;</t>
  </si>
  <si>
    <t>Qual a taxa de rendimento mensal;</t>
  </si>
  <si>
    <t>Quanto de patrimônio vai acumular;</t>
  </si>
  <si>
    <t>Quanto vai receber de dividendos por mês.</t>
  </si>
  <si>
    <t>INVESTIMENTO MENSAL</t>
  </si>
  <si>
    <t>Quanto em 2 anos?</t>
  </si>
  <si>
    <t>Quanto em 5 anos?</t>
  </si>
  <si>
    <t>CENÁRIOS</t>
  </si>
  <si>
    <t>Quanto em 10 anos?</t>
  </si>
  <si>
    <t>Quanto em 20 anos?</t>
  </si>
  <si>
    <t>Quanto em 30 anos?</t>
  </si>
  <si>
    <t>DIVIDENDO</t>
  </si>
  <si>
    <t xml:space="preserve">CONFIGURAÇÕES </t>
  </si>
  <si>
    <t>Salário</t>
  </si>
  <si>
    <t>Rendimento da carteira</t>
  </si>
  <si>
    <t xml:space="preserve">Sugestão de investimento </t>
  </si>
  <si>
    <t>Perfil</t>
  </si>
  <si>
    <t>Agressivo</t>
  </si>
  <si>
    <t>Moderado</t>
  </si>
  <si>
    <t>Conservador</t>
  </si>
  <si>
    <t>Valor a ser investido por mês</t>
  </si>
  <si>
    <t xml:space="preserve">Tipo de FII </t>
  </si>
  <si>
    <t xml:space="preserve">Percentual sugerido </t>
  </si>
  <si>
    <t xml:space="preserve">Valores </t>
  </si>
  <si>
    <t>Papel</t>
  </si>
  <si>
    <t>Tijolo</t>
  </si>
  <si>
    <t xml:space="preserve">Híbridos </t>
  </si>
  <si>
    <t>FOFs</t>
  </si>
  <si>
    <t>Desenvolvimento</t>
  </si>
  <si>
    <t xml:space="preserve">Hotelarias </t>
  </si>
  <si>
    <t>chave</t>
  </si>
</sst>
</file>

<file path=xl/styles.xml><?xml version="1.0" encoding="utf-8"?>
<styleSheet xmlns="http://schemas.openxmlformats.org/spreadsheetml/2006/main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3282C"/>
      <name val="Segoe UI"/>
      <family val="2"/>
    </font>
    <font>
      <sz val="11"/>
      <name val="Segoe U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7F7F7F"/>
      </right>
      <top style="thin">
        <color theme="0" tint="-0.34998626667073579"/>
      </top>
      <bottom style="thin">
        <color rgb="FF7F7F7F"/>
      </bottom>
      <diagonal/>
    </border>
    <border>
      <left style="thin">
        <color rgb="FF7F7F7F"/>
      </left>
      <right style="thin">
        <color theme="0" tint="-0.34998626667073579"/>
      </right>
      <top style="thin">
        <color theme="0" tint="-0.34998626667073579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7">
    <xf numFmtId="0" fontId="0" fillId="0" borderId="0" xfId="0"/>
    <xf numFmtId="0" fontId="6" fillId="4" borderId="2" xfId="0" applyFont="1" applyFill="1" applyBorder="1" applyAlignment="1">
      <alignment horizontal="left" wrapText="1"/>
    </xf>
    <xf numFmtId="0" fontId="6" fillId="4" borderId="5" xfId="0" applyFont="1" applyFill="1" applyBorder="1" applyAlignment="1">
      <alignment horizontal="left" wrapText="1"/>
    </xf>
    <xf numFmtId="0" fontId="6" fillId="4" borderId="6" xfId="0" applyFont="1" applyFill="1" applyBorder="1" applyAlignment="1">
      <alignment horizontal="left" wrapText="1"/>
    </xf>
    <xf numFmtId="0" fontId="7" fillId="5" borderId="8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 wrapText="1"/>
    </xf>
    <xf numFmtId="44" fontId="7" fillId="4" borderId="4" xfId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0" fontId="7" fillId="4" borderId="3" xfId="0" applyNumberFormat="1" applyFont="1" applyFill="1" applyBorder="1" applyAlignment="1">
      <alignment horizontal="center" vertical="center"/>
    </xf>
    <xf numFmtId="8" fontId="7" fillId="5" borderId="7" xfId="0" applyNumberFormat="1" applyFont="1" applyFill="1" applyBorder="1" applyAlignment="1">
      <alignment horizontal="center" vertical="center"/>
    </xf>
    <xf numFmtId="8" fontId="7" fillId="5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4" fillId="0" borderId="0" xfId="0" applyFont="1"/>
    <xf numFmtId="0" fontId="5" fillId="3" borderId="10" xfId="0" applyFont="1" applyFill="1" applyBorder="1" applyAlignment="1">
      <alignment horizontal="center" vertical="center" wrapText="1"/>
    </xf>
    <xf numFmtId="0" fontId="0" fillId="0" borderId="18" xfId="0" applyBorder="1"/>
    <xf numFmtId="0" fontId="0" fillId="4" borderId="18" xfId="0" applyFill="1" applyBorder="1"/>
    <xf numFmtId="9" fontId="0" fillId="0" borderId="19" xfId="0" applyNumberFormat="1" applyBorder="1"/>
    <xf numFmtId="44" fontId="0" fillId="0" borderId="19" xfId="1" applyFont="1" applyBorder="1"/>
    <xf numFmtId="0" fontId="2" fillId="2" borderId="22" xfId="2" applyBorder="1"/>
    <xf numFmtId="0" fontId="2" fillId="2" borderId="23" xfId="2" applyBorder="1"/>
    <xf numFmtId="0" fontId="0" fillId="4" borderId="11" xfId="0" applyFill="1" applyBorder="1"/>
    <xf numFmtId="164" fontId="0" fillId="4" borderId="12" xfId="0" applyNumberFormat="1" applyFill="1" applyBorder="1"/>
    <xf numFmtId="9" fontId="0" fillId="0" borderId="0" xfId="0" applyNumberFormat="1"/>
    <xf numFmtId="9" fontId="0" fillId="0" borderId="9" xfId="0" applyNumberFormat="1" applyBorder="1"/>
    <xf numFmtId="164" fontId="0" fillId="0" borderId="9" xfId="0" applyNumberFormat="1" applyBorder="1"/>
    <xf numFmtId="0" fontId="3" fillId="6" borderId="9" xfId="0" applyFont="1" applyFill="1" applyBorder="1" applyAlignment="1">
      <alignment horizontal="center"/>
    </xf>
    <xf numFmtId="0" fontId="0" fillId="5" borderId="9" xfId="0" applyFill="1" applyBorder="1"/>
    <xf numFmtId="8" fontId="0" fillId="5" borderId="9" xfId="0" applyNumberFormat="1" applyFill="1" applyBorder="1"/>
    <xf numFmtId="8" fontId="0" fillId="5" borderId="13" xfId="0" applyNumberFormat="1" applyFill="1" applyBorder="1"/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0" fillId="7" borderId="20" xfId="0" applyFill="1" applyBorder="1"/>
    <xf numFmtId="44" fontId="0" fillId="7" borderId="21" xfId="0" applyNumberFormat="1" applyFill="1" applyBorder="1"/>
  </cellXfs>
  <cellStyles count="3">
    <cellStyle name="Moeda" xfId="1" builtinId="4"/>
    <cellStyle name="Neutra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5"/>
  <c:chart>
    <c:title>
      <c:tx>
        <c:rich>
          <a:bodyPr/>
          <a:lstStyle/>
          <a:p>
            <a:pPr>
              <a:defRPr/>
            </a:pPr>
            <a:r>
              <a:rPr lang="pt-BR" sz="1200" b="1" i="0" u="none" strike="noStrike" baseline="0"/>
              <a:t>Distribuição do Aporte Mensal por Tipo de FII</a:t>
            </a:r>
            <a:endParaRPr lang="pt-BR" sz="1200"/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Plan1!$B$35:$B$40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 </c:v>
                </c:pt>
              </c:strCache>
            </c:strRef>
          </c:cat>
          <c:val>
            <c:numRef>
              <c:f>Plan1!$D$35:$D$40</c:f>
              <c:numCache>
                <c:formatCode>_-[$R$-416]\ * #,##0.00_-;\-[$R$-416]\ * #,##0.00_-;_-[$R$-416]\ * "-"??_-;_-@_-</c:formatCode>
                <c:ptCount val="6"/>
                <c:pt idx="0">
                  <c:v>225</c:v>
                </c:pt>
                <c:pt idx="1">
                  <c:v>375</c:v>
                </c:pt>
                <c:pt idx="2">
                  <c:v>75</c:v>
                </c:pt>
                <c:pt idx="3">
                  <c:v>75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/>
        <c:firstSliceAng val="0"/>
      </c:pieChart>
    </c:plotArea>
    <c:legend>
      <c:legendPos val="b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0</xdr:row>
      <xdr:rowOff>133350</xdr:rowOff>
    </xdr:from>
    <xdr:to>
      <xdr:col>4</xdr:col>
      <xdr:colOff>1057275</xdr:colOff>
      <xdr:row>8</xdr:row>
      <xdr:rowOff>165555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b="9606"/>
        <a:stretch/>
      </xdr:blipFill>
      <xdr:spPr>
        <a:xfrm>
          <a:off x="85725" y="133350"/>
          <a:ext cx="6438900" cy="1556205"/>
        </a:xfrm>
        <a:prstGeom prst="rect">
          <a:avLst/>
        </a:prstGeom>
      </xdr:spPr>
    </xdr:pic>
    <xdr:clientData/>
  </xdr:twoCellAnchor>
  <xdr:twoCellAnchor>
    <xdr:from>
      <xdr:col>4</xdr:col>
      <xdr:colOff>85726</xdr:colOff>
      <xdr:row>33</xdr:row>
      <xdr:rowOff>38100</xdr:rowOff>
    </xdr:from>
    <xdr:to>
      <xdr:col>7</xdr:col>
      <xdr:colOff>514349</xdr:colOff>
      <xdr:row>46</xdr:row>
      <xdr:rowOff>47625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1:H40"/>
  <sheetViews>
    <sheetView showGridLines="0" showRowColHeaders="0" tabSelected="1" workbookViewId="0">
      <selection activeCell="F13" sqref="F13"/>
    </sheetView>
  </sheetViews>
  <sheetFormatPr defaultColWidth="0" defaultRowHeight="15"/>
  <cols>
    <col min="1" max="1" width="9.140625" customWidth="1"/>
    <col min="2" max="2" width="40" bestFit="1" customWidth="1"/>
    <col min="3" max="3" width="19.42578125" bestFit="1" customWidth="1"/>
    <col min="4" max="4" width="13.42578125" bestFit="1" customWidth="1"/>
    <col min="5" max="5" width="24.85546875" bestFit="1" customWidth="1"/>
    <col min="6" max="6" width="12.140625" bestFit="1" customWidth="1"/>
    <col min="7" max="8" width="9.140625" customWidth="1"/>
    <col min="9" max="16384" width="9.140625" hidden="1"/>
  </cols>
  <sheetData>
    <row r="11" spans="2:3" ht="33" customHeight="1">
      <c r="B11" s="31" t="s">
        <v>13</v>
      </c>
      <c r="C11" s="32"/>
    </row>
    <row r="12" spans="2:3">
      <c r="B12" s="14" t="s">
        <v>14</v>
      </c>
      <c r="C12" s="17">
        <v>5000</v>
      </c>
    </row>
    <row r="13" spans="2:3">
      <c r="B13" s="15" t="s">
        <v>15</v>
      </c>
      <c r="C13" s="16">
        <v>0.01</v>
      </c>
    </row>
    <row r="14" spans="2:3">
      <c r="B14" s="35" t="s">
        <v>16</v>
      </c>
      <c r="C14" s="36">
        <f>C12*30%</f>
        <v>1500</v>
      </c>
    </row>
    <row r="17" spans="1:4" ht="16.5">
      <c r="B17" s="33" t="s">
        <v>5</v>
      </c>
      <c r="C17" s="34"/>
    </row>
    <row r="18" spans="1:4" ht="29.25" customHeight="1">
      <c r="B18" s="2" t="s">
        <v>0</v>
      </c>
      <c r="C18" s="6">
        <v>750</v>
      </c>
    </row>
    <row r="19" spans="1:4" ht="16.5">
      <c r="A19" s="12">
        <v>2</v>
      </c>
      <c r="B19" s="3" t="s">
        <v>1</v>
      </c>
      <c r="C19" s="7">
        <v>5</v>
      </c>
    </row>
    <row r="20" spans="1:4" ht="16.5">
      <c r="A20" s="12">
        <v>5</v>
      </c>
      <c r="B20" s="1" t="s">
        <v>2</v>
      </c>
      <c r="C20" s="8">
        <v>1.0789999999999999E-2</v>
      </c>
    </row>
    <row r="21" spans="1:4" ht="16.5">
      <c r="A21" s="12">
        <v>10</v>
      </c>
      <c r="B21" s="5" t="s">
        <v>3</v>
      </c>
      <c r="C21" s="9">
        <f>FV(C20,C19*12,C18*-1)</f>
        <v>62832.685498865736</v>
      </c>
    </row>
    <row r="22" spans="1:4">
      <c r="A22" s="12">
        <v>20</v>
      </c>
      <c r="B22" s="4" t="s">
        <v>4</v>
      </c>
      <c r="C22" s="10">
        <f>C21*1%</f>
        <v>628.32685498865737</v>
      </c>
    </row>
    <row r="23" spans="1:4">
      <c r="A23" s="12">
        <v>30</v>
      </c>
    </row>
    <row r="24" spans="1:4" ht="16.5">
      <c r="B24" s="29" t="s">
        <v>8</v>
      </c>
      <c r="C24" s="30"/>
      <c r="D24" s="13" t="s">
        <v>12</v>
      </c>
    </row>
    <row r="25" spans="1:4">
      <c r="B25" s="26" t="s">
        <v>6</v>
      </c>
      <c r="C25" s="27">
        <f>FV($C$20,$A19*12,$C$18*-1)</f>
        <v>20420.720473233912</v>
      </c>
      <c r="D25" s="28">
        <f>C25*rendimento_carteira</f>
        <v>204.20720473233914</v>
      </c>
    </row>
    <row r="26" spans="1:4">
      <c r="B26" s="26" t="s">
        <v>7</v>
      </c>
      <c r="C26" s="27">
        <f>FV($C$20,$A20*12,$C$18*-1)</f>
        <v>62832.685498865736</v>
      </c>
      <c r="D26" s="28">
        <f>C26*rendimento_carteira</f>
        <v>628.32685498865737</v>
      </c>
    </row>
    <row r="27" spans="1:4">
      <c r="B27" s="26" t="s">
        <v>9</v>
      </c>
      <c r="C27" s="27">
        <f>FV($C$20,$A21*12,$C$18*-1)</f>
        <v>182463.15939762915</v>
      </c>
      <c r="D27" s="28">
        <f>C27*rendimento_carteira</f>
        <v>1824.6315939762915</v>
      </c>
    </row>
    <row r="28" spans="1:4">
      <c r="B28" s="26" t="s">
        <v>10</v>
      </c>
      <c r="C28" s="27">
        <f>FV($C$20,$A22*12,$C$18*-1)</f>
        <v>843898.8000728105</v>
      </c>
      <c r="D28" s="28">
        <f>C28*rendimento_carteira</f>
        <v>8438.9880007281045</v>
      </c>
    </row>
    <row r="29" spans="1:4">
      <c r="B29" s="26" t="s">
        <v>11</v>
      </c>
      <c r="C29" s="27">
        <f>FV($C$20,$A23*12,$C$18*-1)</f>
        <v>3241627.2412535357</v>
      </c>
      <c r="D29" s="28">
        <f>C29*rendimento_carteira</f>
        <v>32416.27241253536</v>
      </c>
    </row>
    <row r="31" spans="1:4">
      <c r="B31" s="18" t="s">
        <v>17</v>
      </c>
      <c r="C31" s="19" t="s">
        <v>20</v>
      </c>
    </row>
    <row r="32" spans="1:4">
      <c r="B32" s="20" t="s">
        <v>21</v>
      </c>
      <c r="C32" s="21">
        <f>C18</f>
        <v>750</v>
      </c>
    </row>
    <row r="34" spans="2:4">
      <c r="B34" s="25" t="s">
        <v>22</v>
      </c>
      <c r="C34" s="25" t="s">
        <v>23</v>
      </c>
      <c r="D34" s="25" t="s">
        <v>24</v>
      </c>
    </row>
    <row r="35" spans="2:4">
      <c r="B35" s="11" t="s">
        <v>25</v>
      </c>
      <c r="C35" s="23">
        <f>VLOOKUP($C$31&amp;"-"&amp;B35,Plan2!$B$6:$E$23,4,FALSE)</f>
        <v>0.3</v>
      </c>
      <c r="D35" s="24">
        <f>C35*$C$32</f>
        <v>225</v>
      </c>
    </row>
    <row r="36" spans="2:4">
      <c r="B36" s="11" t="s">
        <v>26</v>
      </c>
      <c r="C36" s="23">
        <f>VLOOKUP($C$31&amp;"-"&amp;B36,Plan2!$B$6:$E$23,4,FALSE)</f>
        <v>0.5</v>
      </c>
      <c r="D36" s="24">
        <f>C36*$C$32</f>
        <v>375</v>
      </c>
    </row>
    <row r="37" spans="2:4">
      <c r="B37" s="11" t="s">
        <v>27</v>
      </c>
      <c r="C37" s="23">
        <f>VLOOKUP($C$31&amp;"-"&amp;B37,Plan2!$B$6:$E$23,4,FALSE)</f>
        <v>0.1</v>
      </c>
      <c r="D37" s="24">
        <f>C37*$C$32</f>
        <v>75</v>
      </c>
    </row>
    <row r="38" spans="2:4">
      <c r="B38" s="11" t="s">
        <v>28</v>
      </c>
      <c r="C38" s="23">
        <f>VLOOKUP($C$31&amp;"-"&amp;B38,Plan2!$B$6:$E$23,4,FALSE)</f>
        <v>0.1</v>
      </c>
      <c r="D38" s="24">
        <f>C38*$C$32</f>
        <v>75</v>
      </c>
    </row>
    <row r="39" spans="2:4">
      <c r="B39" s="11" t="s">
        <v>29</v>
      </c>
      <c r="C39" s="23">
        <f>VLOOKUP($C$31&amp;"-"&amp;B39,Plan2!$B$6:$E$23,4,FALSE)</f>
        <v>0</v>
      </c>
      <c r="D39" s="24">
        <f>C39*$C$32</f>
        <v>0</v>
      </c>
    </row>
    <row r="40" spans="2:4">
      <c r="B40" s="11" t="s">
        <v>30</v>
      </c>
      <c r="C40" s="23">
        <f>VLOOKUP($C$31&amp;"-"&amp;B40,Plan2!$B$6:$E$23,4,FALSE)</f>
        <v>0</v>
      </c>
      <c r="D40" s="24">
        <f>C40*$C$32</f>
        <v>0</v>
      </c>
    </row>
  </sheetData>
  <mergeCells count="3">
    <mergeCell ref="B17:C17"/>
    <mergeCell ref="B24:C24"/>
    <mergeCell ref="B11:C11"/>
  </mergeCells>
  <dataValidations count="1">
    <dataValidation type="list" allowBlank="1" showInputMessage="1" showErrorMessage="1" sqref="C31">
      <formula1>"Agressivo, Moderado, 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5:E23"/>
  <sheetViews>
    <sheetView workbookViewId="0">
      <selection activeCell="G23" sqref="G23"/>
    </sheetView>
  </sheetViews>
  <sheetFormatPr defaultRowHeight="15"/>
  <cols>
    <col min="1" max="1" width="12.140625" bestFit="1" customWidth="1"/>
    <col min="2" max="2" width="29.140625" bestFit="1" customWidth="1"/>
    <col min="3" max="3" width="12.140625" bestFit="1" customWidth="1"/>
    <col min="4" max="4" width="16.85546875" bestFit="1" customWidth="1"/>
    <col min="5" max="5" width="11.85546875" customWidth="1"/>
  </cols>
  <sheetData>
    <row r="5" spans="2:5">
      <c r="B5" t="s">
        <v>31</v>
      </c>
      <c r="C5" t="s">
        <v>20</v>
      </c>
      <c r="D5" s="25" t="s">
        <v>22</v>
      </c>
    </row>
    <row r="6" spans="2:5">
      <c r="B6" t="str">
        <f>C6&amp;"-"&amp;D6</f>
        <v>Conservador-Papel</v>
      </c>
      <c r="C6" t="s">
        <v>20</v>
      </c>
      <c r="D6" s="11" t="s">
        <v>25</v>
      </c>
      <c r="E6" s="23">
        <v>0.3</v>
      </c>
    </row>
    <row r="7" spans="2:5">
      <c r="B7" t="str">
        <f t="shared" ref="B7:B23" si="0">C7&amp;"-"&amp;D7</f>
        <v>Conservador-Tijolo</v>
      </c>
      <c r="C7" t="s">
        <v>20</v>
      </c>
      <c r="D7" s="11" t="s">
        <v>26</v>
      </c>
      <c r="E7" s="23">
        <v>0.5</v>
      </c>
    </row>
    <row r="8" spans="2:5">
      <c r="B8" t="str">
        <f t="shared" si="0"/>
        <v xml:space="preserve">Conservador-Híbridos </v>
      </c>
      <c r="C8" t="s">
        <v>20</v>
      </c>
      <c r="D8" s="11" t="s">
        <v>27</v>
      </c>
      <c r="E8" s="23">
        <v>0.1</v>
      </c>
    </row>
    <row r="9" spans="2:5">
      <c r="B9" t="str">
        <f t="shared" si="0"/>
        <v>Conservador-FOFs</v>
      </c>
      <c r="C9" t="s">
        <v>20</v>
      </c>
      <c r="D9" s="11" t="s">
        <v>28</v>
      </c>
      <c r="E9" s="23">
        <v>0.1</v>
      </c>
    </row>
    <row r="10" spans="2:5">
      <c r="B10" t="str">
        <f t="shared" si="0"/>
        <v>Conservador-Desenvolvimento</v>
      </c>
      <c r="C10" t="s">
        <v>20</v>
      </c>
      <c r="D10" s="11" t="s">
        <v>29</v>
      </c>
      <c r="E10" s="23">
        <v>0</v>
      </c>
    </row>
    <row r="11" spans="2:5">
      <c r="B11" t="str">
        <f t="shared" si="0"/>
        <v xml:space="preserve">Conservador-Hotelarias </v>
      </c>
      <c r="C11" t="s">
        <v>20</v>
      </c>
      <c r="D11" s="11" t="s">
        <v>30</v>
      </c>
      <c r="E11" s="23">
        <v>0</v>
      </c>
    </row>
    <row r="12" spans="2:5">
      <c r="B12" t="str">
        <f t="shared" si="0"/>
        <v>Moderado-Papel</v>
      </c>
      <c r="C12" t="s">
        <v>19</v>
      </c>
      <c r="D12" s="11" t="s">
        <v>25</v>
      </c>
      <c r="E12" s="22">
        <v>0.32</v>
      </c>
    </row>
    <row r="13" spans="2:5">
      <c r="B13" t="str">
        <f t="shared" si="0"/>
        <v>Moderado-Tijolo</v>
      </c>
      <c r="C13" t="s">
        <v>19</v>
      </c>
      <c r="D13" s="11" t="s">
        <v>26</v>
      </c>
      <c r="E13" s="22">
        <v>0.4</v>
      </c>
    </row>
    <row r="14" spans="2:5">
      <c r="B14" t="str">
        <f t="shared" si="0"/>
        <v xml:space="preserve">Moderado-Híbridos </v>
      </c>
      <c r="C14" t="s">
        <v>19</v>
      </c>
      <c r="D14" s="11" t="s">
        <v>27</v>
      </c>
      <c r="E14" s="22">
        <v>0.08</v>
      </c>
    </row>
    <row r="15" spans="2:5">
      <c r="B15" t="str">
        <f t="shared" si="0"/>
        <v>Moderado-FOFs</v>
      </c>
      <c r="C15" t="s">
        <v>19</v>
      </c>
      <c r="D15" s="11" t="s">
        <v>28</v>
      </c>
      <c r="E15" s="22">
        <v>0.1</v>
      </c>
    </row>
    <row r="16" spans="2:5">
      <c r="B16" t="str">
        <f t="shared" si="0"/>
        <v>Moderado-Desenvolvimento</v>
      </c>
      <c r="C16" t="s">
        <v>19</v>
      </c>
      <c r="D16" s="11" t="s">
        <v>29</v>
      </c>
      <c r="E16" s="22">
        <v>0.1</v>
      </c>
    </row>
    <row r="17" spans="2:5">
      <c r="B17" t="str">
        <f t="shared" si="0"/>
        <v xml:space="preserve">Moderado-Hotelarias </v>
      </c>
      <c r="C17" t="s">
        <v>19</v>
      </c>
      <c r="D17" s="11" t="s">
        <v>30</v>
      </c>
      <c r="E17" s="22">
        <v>0.05</v>
      </c>
    </row>
    <row r="18" spans="2:5">
      <c r="B18" t="str">
        <f t="shared" si="0"/>
        <v>Agressivo-Papel</v>
      </c>
      <c r="C18" t="s">
        <v>18</v>
      </c>
      <c r="D18" s="11" t="s">
        <v>25</v>
      </c>
      <c r="E18" s="22">
        <v>0.5</v>
      </c>
    </row>
    <row r="19" spans="2:5">
      <c r="B19" t="str">
        <f t="shared" si="0"/>
        <v>Agressivo-Tijolo</v>
      </c>
      <c r="C19" t="s">
        <v>18</v>
      </c>
      <c r="D19" s="11" t="s">
        <v>26</v>
      </c>
      <c r="E19" s="22">
        <v>0.1</v>
      </c>
    </row>
    <row r="20" spans="2:5">
      <c r="B20" t="str">
        <f t="shared" si="0"/>
        <v xml:space="preserve">Agressivo-Híbridos </v>
      </c>
      <c r="C20" t="s">
        <v>18</v>
      </c>
      <c r="D20" s="11" t="s">
        <v>27</v>
      </c>
      <c r="E20" s="22">
        <v>0.05</v>
      </c>
    </row>
    <row r="21" spans="2:5">
      <c r="B21" t="str">
        <f t="shared" si="0"/>
        <v>Agressivo-FOFs</v>
      </c>
      <c r="C21" t="s">
        <v>18</v>
      </c>
      <c r="D21" s="11" t="s">
        <v>28</v>
      </c>
      <c r="E21" s="22">
        <v>0.05</v>
      </c>
    </row>
    <row r="22" spans="2:5">
      <c r="B22" t="str">
        <f t="shared" si="0"/>
        <v>Agressivo-Desenvolvimento</v>
      </c>
      <c r="C22" t="s">
        <v>18</v>
      </c>
      <c r="D22" s="11" t="s">
        <v>29</v>
      </c>
      <c r="E22" s="22">
        <v>0.2</v>
      </c>
    </row>
    <row r="23" spans="2:5">
      <c r="B23" t="str">
        <f t="shared" si="0"/>
        <v xml:space="preserve">Agressivo-Hotelarias </v>
      </c>
      <c r="C23" t="s">
        <v>18</v>
      </c>
      <c r="D23" s="11" t="s">
        <v>30</v>
      </c>
      <c r="E23" s="2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Plan1</vt:lpstr>
      <vt:lpstr>Plan2</vt:lpstr>
      <vt:lpstr>aporte</vt:lpstr>
      <vt:lpstr>apote</vt:lpstr>
      <vt:lpstr>rendimento_carteira</vt:lpstr>
      <vt:lpstr>taxa_mensal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Lacerda</dc:creator>
  <cp:lastModifiedBy>Luiza Lacerda</cp:lastModifiedBy>
  <dcterms:created xsi:type="dcterms:W3CDTF">2026-10-13T19:00:37Z</dcterms:created>
  <dcterms:modified xsi:type="dcterms:W3CDTF">2026-10-13T22:54:26Z</dcterms:modified>
</cp:coreProperties>
</file>